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527" codeName="{82680DD9-3F13-7979-5B5F-3D2375947C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I320\projet\"/>
    </mc:Choice>
  </mc:AlternateContent>
  <xr:revisionPtr revIDLastSave="0" documentId="13_ncr:1_{2EADE43C-70E2-450C-A43C-D1E40406907B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  <sheet name="Planning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 iterateDelta="1E-4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155" l="1"/>
  <c r="B97" i="157"/>
  <c r="B83" i="157"/>
  <c r="B69" i="157"/>
  <c r="B55" i="157"/>
  <c r="B41" i="157"/>
  <c r="B27" i="157"/>
  <c r="B13" i="157"/>
  <c r="B111" i="157"/>
  <c r="D134" i="155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37" i="155"/>
  <c r="B18" i="155"/>
  <c r="B18" i="154"/>
  <c r="B171" i="155"/>
  <c r="B13" i="11" l="1"/>
</calcChain>
</file>

<file path=xl/sharedStrings.xml><?xml version="1.0" encoding="utf-8"?>
<sst xmlns="http://schemas.openxmlformats.org/spreadsheetml/2006/main" count="296" uniqueCount="117">
  <si>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</si>
  <si>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</si>
  <si>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</si>
  <si>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</si>
  <si>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</si>
  <si>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</si>
  <si>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</si>
  <si>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</si>
  <si>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</si>
  <si>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</si>
  <si>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</si>
  <si>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</si>
  <si>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</si>
  <si>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</si>
  <si>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</si>
  <si>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</si>
  <si>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</si>
  <si>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</si>
  <si>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</si>
  <si>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</si>
  <si>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</si>
  <si>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</si>
  <si>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</si>
  <si>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</si>
  <si>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P_320</t>
  </si>
  <si>
    <t>hugo chevrette</t>
  </si>
  <si>
    <t>Cid2A</t>
  </si>
  <si>
    <t>Vennes</t>
  </si>
  <si>
    <t>STOP</t>
  </si>
  <si>
    <t>Max. 12</t>
  </si>
  <si>
    <t>commencement du script</t>
  </si>
  <si>
    <t>ecouter le projet</t>
  </si>
  <si>
    <t>creation des livrable</t>
  </si>
  <si>
    <t>remplir les livrable</t>
  </si>
  <si>
    <t>doc</t>
  </si>
  <si>
    <t>code</t>
  </si>
  <si>
    <t>git</t>
  </si>
  <si>
    <t>Explications: qu'est-ce qui se fait et comment ?</t>
  </si>
  <si>
    <t>lecture complete du CdC + questions au CdP si besoin</t>
  </si>
  <si>
    <t>setup Github (repo, README, .gitignore)</t>
  </si>
  <si>
    <t>squelette des classes Parking, PlaceParking, Vehicule, Ticket (proprietes)</t>
  </si>
  <si>
    <t>redaction intro - objectifs produit et pedagogique</t>
  </si>
  <si>
    <t>redaction intro - description du domaine et sources de donnees</t>
  </si>
  <si>
    <t>analyse fonctionnelle (user stories + maquette console)</t>
  </si>
  <si>
    <t>planification initiale (ce planning)</t>
  </si>
  <si>
    <t>relecture + finalisation de la livraison 1 (04.09)</t>
  </si>
  <si>
    <t>finaliser structure des classes + constructeurs</t>
  </si>
  <si>
    <t>entree vehicule - validation format plaque (2 lettres + jusqu'a 6 chiffres)</t>
  </si>
  <si>
    <t>entree vehicule - attribution du ticket (heure entree, place, tarif horaire)</t>
  </si>
  <si>
    <t>tests unitaires validation de plaque</t>
  </si>
  <si>
    <t>commit + push Github</t>
  </si>
  <si>
    <t>journal de travail</t>
  </si>
  <si>
    <t>sortie vehicule - saisie plaque ou numero de place</t>
  </si>
  <si>
    <t>sortie vehicule - calcul duree (simulee) + montant</t>
  </si>
  <si>
    <t>sortie vehicule - confirmation utilisateur + liberation de la place</t>
  </si>
  <si>
    <t>affichage etat du parking (plan L=Libre / X=Occupe)</t>
  </si>
  <si>
    <t>tests unitaires sortie / affichage</t>
  </si>
  <si>
    <t>recherche d'un vehicule (plaque ou n. place) + affichage du ticket</t>
  </si>
  <si>
    <t>statistiques du jour (places occupees, %, montant total, durees)</t>
  </si>
  <si>
    <t>tests unitaires recherche / statistiques</t>
  </si>
  <si>
    <t>historique des transactions (structure ENTREE / SORTIE)</t>
  </si>
  <si>
    <t>affichage de l'historique formate</t>
  </si>
  <si>
    <t>tests unitaires historique</t>
  </si>
  <si>
    <t>relecture code - conventions techniques ETML (namespace, classes)</t>
  </si>
  <si>
    <t>refactor - eliminer copie/colle, optimiser les structures</t>
  </si>
  <si>
    <t>completer les tests unitaires manquants</t>
  </si>
  <si>
    <t>commentaires de code</t>
  </si>
  <si>
    <t>diagramme de classe (UML)</t>
  </si>
  <si>
    <t>redaction de l'explication du diagramme de classe</t>
  </si>
  <si>
    <t>rapport de tests (redaction des resultats des tests unitaires)</t>
  </si>
  <si>
    <t>bilan du deroulement du projet (planning, methodologie, problemes)</t>
  </si>
  <si>
    <t>bilan produit (ce qu'on a vs ce qu'on voulait)</t>
  </si>
  <si>
    <t>conclusion</t>
  </si>
  <si>
    <t>relecture complete du rapport (orthographe, mise en page)</t>
  </si>
  <si>
    <t>finaliser le journal de travail</t>
  </si>
  <si>
    <t>preparer la release Github (tag, rapport PDF + journal attaches)</t>
  </si>
  <si>
    <t>marge / imprevus</t>
  </si>
  <si>
    <t>creation kanban git hub</t>
  </si>
  <si>
    <t>creation de la classe voiture</t>
  </si>
  <si>
    <t>mettre au propre mon code avec des classe</t>
  </si>
  <si>
    <t xml:space="preserve">creation du menu </t>
  </si>
  <si>
    <t>rentre de la plaque</t>
  </si>
  <si>
    <t>creation entre vehicule</t>
  </si>
  <si>
    <t>creation sortie vehicule</t>
  </si>
  <si>
    <t>creation montre la parking</t>
  </si>
  <si>
    <t>creation liste de vehicule pour les stocker</t>
  </si>
  <si>
    <t>correction du code pour adapter la liste</t>
  </si>
  <si>
    <t>menu recherche de vehicule</t>
  </si>
  <si>
    <t>creation recherche de vehicule</t>
  </si>
  <si>
    <t>ajout prix vehicule + heure</t>
  </si>
  <si>
    <t xml:space="preserve">ajout historique de transaction  </t>
  </si>
  <si>
    <t>ajout statistique du jour</t>
  </si>
  <si>
    <t>finalisation du CDC</t>
  </si>
  <si>
    <t>2026-oo-parking-cdc (2).pdf</t>
  </si>
  <si>
    <t>T-P_OO-Rapport_de_projet.docx</t>
  </si>
  <si>
    <t>P_OO-Parking/P_OO-Parking/Program.cs</t>
  </si>
  <si>
    <t>Prévu : 12 quarts d’heure</t>
  </si>
  <si>
    <t>Tableau Kanban GitHub</t>
  </si>
  <si>
    <t>P_OO-Parking/P_OO-Parking/vehicule.cs</t>
  </si>
  <si>
    <t>P_OO-Parking/P_OO-Parking/</t>
  </si>
  <si>
    <t>P_OO-Parking/P_OO-Parking/Parking.cs</t>
  </si>
  <si>
    <t>P_OO-Parking/P_OO-Parking/Ticket.cs</t>
  </si>
  <si>
    <t>Séance finale</t>
  </si>
  <si>
    <t>Début :</t>
  </si>
  <si>
    <t>Correction des chemins des tests avec l’aide de ChatGPT.</t>
  </si>
  <si>
    <t>Tests/Tests.csproj</t>
  </si>
  <si>
    <t>Tarif passé à 1 CHF par heure et tests adaptés.</t>
  </si>
  <si>
    <t>Diagramme, besoins et maquettes ajoutés avec ChatGPT.</t>
  </si>
  <si>
    <t>Sommaire et références du journal corrigés.</t>
  </si>
  <si>
    <t>T-planification-journal_de_travail.xlsm</t>
  </si>
  <si>
    <t>Compilation et exécution des 24 tests automatiques.</t>
  </si>
  <si>
    <t>Tests/Resultats.txt</t>
  </si>
  <si>
    <t>Durée de cette séance à renseigner.</t>
  </si>
  <si>
    <t>Appréciations personnelles et séances manquantes à compléter.</t>
  </si>
  <si>
    <t>Total saisi</t>
  </si>
  <si>
    <t>Durées non renseignées</t>
  </si>
  <si>
    <t>chapitre usage de l'IA + declaration d'usage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</si>
</sst>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2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2"/>
      <name val="Century Gothic"/>
      <family val="2"/>
      <charset val="1"/>
    </font>
    <font>
      <b/>
      <sz val="10"/>
      <name val="Century Gothic"/>
      <family val="2"/>
      <charset val="1"/>
    </font>
    <font>
      <sz val="9"/>
      <name val="Century Gothic"/>
      <family val="2"/>
      <charset val="1"/>
    </font>
    <font>
      <b/>
      <sz val="14"/>
      <name val="Century Gothic"/>
      <family val="2"/>
      <charset val="1"/>
    </font>
    <font>
      <b/>
      <sz val="9"/>
      <name val="Century Gothic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89013336588644"/>
        <bgColor rgb="FFB7DEE8"/>
      </patternFill>
    </fill>
    <fill>
      <patternFill patternType="solid">
        <fgColor theme="3" tint="0.59987182226020086"/>
        <bgColor rgb="FF9999FF"/>
      </patternFill>
    </fill>
    <fill>
      <patternFill patternType="solid">
        <fgColor theme="8" tint="0.59987182226020086"/>
        <bgColor rgb="FFC6D9F1"/>
      </patternFill>
    </fill>
    <fill>
      <patternFill patternType="solid">
        <fgColor theme="4"/>
        <bgColor rgb="FF808080"/>
      </patternFill>
    </fill>
    <fill>
      <patternFill patternType="solid">
        <fgColor theme="0"/>
        <bgColor rgb="FFEBF1DE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1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8" fillId="0" borderId="34" xfId="0" applyFont="1" applyBorder="1" applyAlignment="1" applyProtection="1">
      <alignment horizontal="left" vertical="top" wrapText="1"/>
      <protection locked="0"/>
    </xf>
    <xf numFmtId="0" fontId="0" fillId="0" borderId="20" xfId="0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7" fillId="14" borderId="14" xfId="0" applyFont="1" applyFill="1" applyBorder="1" applyAlignment="1">
      <alignment horizontal="right" vertical="center"/>
    </xf>
    <xf numFmtId="0" fontId="17" fillId="15" borderId="15" xfId="0" applyFont="1" applyFill="1" applyBorder="1" applyAlignment="1">
      <alignment horizontal="center" vertical="center"/>
    </xf>
    <xf numFmtId="0" fontId="0" fillId="0" borderId="3" xfId="0" applyBorder="1" applyAlignment="1" applyProtection="1">
      <alignment horizontal="left" vertical="top" wrapText="1"/>
      <protection locked="0"/>
    </xf>
    <xf numFmtId="0" fontId="18" fillId="16" borderId="13" xfId="0" applyFont="1" applyFill="1" applyBorder="1" applyAlignment="1">
      <alignment horizontal="left" vertical="top" wrapText="1"/>
    </xf>
    <xf numFmtId="0" fontId="19" fillId="17" borderId="0" xfId="0" applyFont="1" applyFill="1" applyAlignment="1">
      <alignment horizontal="center"/>
    </xf>
    <xf numFmtId="0" fontId="0" fillId="18" borderId="36" xfId="0" applyFill="1" applyBorder="1" applyProtection="1">
      <protection locked="0"/>
    </xf>
    <xf numFmtId="0" fontId="0" fillId="18" borderId="37" xfId="0" applyFill="1" applyBorder="1" applyProtection="1">
      <protection locked="0"/>
    </xf>
    <xf numFmtId="0" fontId="0" fillId="18" borderId="38" xfId="0" applyFill="1" applyBorder="1" applyProtection="1">
      <protection locked="0"/>
    </xf>
    <xf numFmtId="0" fontId="0" fillId="0" borderId="35" xfId="0" applyBorder="1" applyAlignment="1" applyProtection="1">
      <alignment horizontal="left" vertical="top" wrapText="1"/>
      <protection locked="0"/>
    </xf>
    <xf numFmtId="0" fontId="0" fillId="18" borderId="0" xfId="0" applyFill="1" applyProtection="1"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 wrapText="1"/>
      <protection locked="0"/>
    </xf>
    <xf numFmtId="0" fontId="0" fillId="16" borderId="15" xfId="0" applyFill="1" applyBorder="1" applyAlignment="1">
      <alignment horizontal="center" vertical="center" wrapText="1"/>
    </xf>
    <xf numFmtId="0" fontId="20" fillId="14" borderId="12" xfId="0" applyFont="1" applyFill="1" applyBorder="1" applyAlignment="1">
      <alignment horizontal="center" vertical="center"/>
    </xf>
    <xf numFmtId="0" fontId="21" fillId="15" borderId="15" xfId="0" applyFont="1" applyFill="1" applyBorder="1" applyAlignment="1">
      <alignment horizontal="center" vertical="center" wrapText="1"/>
    </xf>
    <xf numFmtId="0" fontId="0" fillId="0" borderId="17" xfId="0" applyBorder="1" applyAlignment="1" applyProtection="1">
      <alignment horizontal="center" vertical="center" wrapText="1"/>
      <protection locked="0"/>
    </xf>
    <xf numFmtId="0" fontId="0" fillId="9" borderId="0" xfId="0" applyFill="1" applyAlignment="1">
      <alignment horizontal="center" vertical="center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6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29" zoomScaleNormal="100" zoomScaleSheetLayoutView="100" workbookViewId="0">
      <selection activeCell="C23" sqref="C23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46262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46325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12" t="s">
        <v>19</v>
      </c>
      <c r="C19" s="113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34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35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36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/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/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14" t="s">
        <v>21</v>
      </c>
      <c r="C3" s="16">
        <v>0</v>
      </c>
    </row>
    <row r="4" spans="1:4" ht="19.5" customHeight="1" x14ac:dyDescent="0.25">
      <c r="A4" s="19"/>
      <c r="B4" s="115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29A9F-D422-4ED6-B2B4-A4406775A11E}">
  <sheetPr codeName="Feuil9"/>
  <dimension ref="A1:H173"/>
  <sheetViews>
    <sheetView topLeftCell="A132" workbookViewId="0">
      <selection activeCell="D164" sqref="D164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46262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>
        <v>3</v>
      </c>
      <c r="C3" s="89" t="s">
        <v>31</v>
      </c>
      <c r="D3" s="9" t="s">
        <v>93</v>
      </c>
    </row>
    <row r="4" spans="1:4" s="52" customFormat="1" x14ac:dyDescent="0.25">
      <c r="A4" s="1"/>
      <c r="B4" s="2">
        <v>2</v>
      </c>
      <c r="C4" s="90" t="s">
        <v>32</v>
      </c>
      <c r="D4" s="10" t="s">
        <v>94</v>
      </c>
    </row>
    <row r="5" spans="1:4" s="52" customFormat="1" x14ac:dyDescent="0.25">
      <c r="A5" s="1"/>
      <c r="B5" s="2">
        <v>5</v>
      </c>
      <c r="C5" s="90" t="s">
        <v>33</v>
      </c>
      <c r="D5" s="10" t="s">
        <v>94</v>
      </c>
    </row>
    <row r="6" spans="1:4" s="52" customFormat="1" x14ac:dyDescent="0.25">
      <c r="A6" s="1"/>
      <c r="B6" s="2">
        <v>2</v>
      </c>
      <c r="C6" s="90" t="s">
        <v>30</v>
      </c>
      <c r="D6" s="10" t="s">
        <v>95</v>
      </c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86" t="s">
        <v>96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46269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/>
      <c r="B22" s="4">
        <v>12</v>
      </c>
      <c r="C22" s="89" t="s">
        <v>77</v>
      </c>
      <c r="D22" s="9" t="s">
        <v>97</v>
      </c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12</v>
      </c>
      <c r="C37" s="86" t="s">
        <v>96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46276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ht="14.25" thickBot="1" x14ac:dyDescent="0.3">
      <c r="A41" s="5"/>
      <c r="B41" s="111">
        <v>5</v>
      </c>
      <c r="C41" s="89" t="s">
        <v>78</v>
      </c>
      <c r="D41" s="9" t="s">
        <v>98</v>
      </c>
    </row>
    <row r="42" spans="1:8" x14ac:dyDescent="0.25">
      <c r="A42" s="1"/>
      <c r="B42" s="4">
        <v>4</v>
      </c>
      <c r="C42" s="90" t="s">
        <v>79</v>
      </c>
      <c r="D42" s="10" t="s">
        <v>99</v>
      </c>
    </row>
    <row r="43" spans="1:8" x14ac:dyDescent="0.25">
      <c r="A43" s="1"/>
      <c r="B43" s="2">
        <v>1</v>
      </c>
      <c r="C43" s="90" t="s">
        <v>80</v>
      </c>
      <c r="D43" s="10" t="s">
        <v>100</v>
      </c>
    </row>
    <row r="44" spans="1:8" x14ac:dyDescent="0.25">
      <c r="A44" s="1"/>
      <c r="B44" s="2">
        <v>2</v>
      </c>
      <c r="C44" s="90" t="s">
        <v>81</v>
      </c>
      <c r="D44" s="10" t="s">
        <v>98</v>
      </c>
    </row>
    <row r="45" spans="1:8" x14ac:dyDescent="0.25">
      <c r="A45" s="1"/>
      <c r="B45" s="2"/>
      <c r="C45" s="10"/>
      <c r="D45" s="10"/>
    </row>
    <row r="46" spans="1:8" x14ac:dyDescent="0.25">
      <c r="A46" s="1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12</v>
      </c>
      <c r="C56" s="86" t="s">
        <v>96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46283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>
        <v>6</v>
      </c>
      <c r="C60" s="89" t="s">
        <v>82</v>
      </c>
      <c r="D60" s="9" t="s">
        <v>100</v>
      </c>
    </row>
    <row r="61" spans="1:4" x14ac:dyDescent="0.25">
      <c r="A61" s="1"/>
      <c r="B61" s="2">
        <v>4</v>
      </c>
      <c r="C61" s="90" t="s">
        <v>83</v>
      </c>
      <c r="D61" s="10" t="s">
        <v>100</v>
      </c>
    </row>
    <row r="62" spans="1:4" x14ac:dyDescent="0.25">
      <c r="A62" s="1"/>
      <c r="B62" s="2">
        <v>2</v>
      </c>
      <c r="C62" s="90" t="s">
        <v>84</v>
      </c>
      <c r="D62" s="10" t="s">
        <v>100</v>
      </c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12</v>
      </c>
      <c r="C75" s="86" t="s">
        <v>96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46290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>
        <v>5</v>
      </c>
      <c r="C79" s="89" t="s">
        <v>85</v>
      </c>
      <c r="D79" s="9" t="s">
        <v>100</v>
      </c>
    </row>
    <row r="80" spans="1:4" x14ac:dyDescent="0.25">
      <c r="A80" s="1"/>
      <c r="B80" s="2">
        <v>5</v>
      </c>
      <c r="C80" s="90" t="s">
        <v>86</v>
      </c>
      <c r="D80" s="10" t="s">
        <v>100</v>
      </c>
    </row>
    <row r="81" spans="1:4" x14ac:dyDescent="0.25">
      <c r="A81" s="1"/>
      <c r="B81" s="2">
        <v>2</v>
      </c>
      <c r="C81" s="90" t="s">
        <v>87</v>
      </c>
      <c r="D81" s="10" t="s">
        <v>100</v>
      </c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12</v>
      </c>
      <c r="C94" s="86" t="s">
        <v>96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46297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>
        <v>8</v>
      </c>
      <c r="C98" s="89" t="s">
        <v>88</v>
      </c>
      <c r="D98" s="9" t="s">
        <v>100</v>
      </c>
    </row>
    <row r="99" spans="1:4" x14ac:dyDescent="0.25">
      <c r="A99" s="1"/>
      <c r="B99" s="2">
        <v>4</v>
      </c>
      <c r="C99" s="90" t="s">
        <v>89</v>
      </c>
      <c r="D99" s="10" t="s">
        <v>101</v>
      </c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12</v>
      </c>
      <c r="C113" s="86" t="s">
        <v>96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46304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>
        <v>8</v>
      </c>
      <c r="C117" s="89" t="s">
        <v>90</v>
      </c>
      <c r="D117" s="9" t="s">
        <v>101</v>
      </c>
    </row>
    <row r="118" spans="1:4" x14ac:dyDescent="0.25">
      <c r="A118" s="1"/>
      <c r="B118" s="2">
        <v>4</v>
      </c>
      <c r="C118" s="90" t="s">
        <v>91</v>
      </c>
      <c r="D118" s="10" t="s">
        <v>100</v>
      </c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12</v>
      </c>
      <c r="C132" s="86" t="s">
        <v>96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46311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>
        <v>3</v>
      </c>
      <c r="C136" s="89" t="s">
        <v>92</v>
      </c>
      <c r="D136" s="9" t="s">
        <v>93</v>
      </c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3</v>
      </c>
      <c r="C151" s="86" t="s">
        <v>96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/>
    </row>
    <row r="154" spans="1:4" ht="18.75" thickBot="1" x14ac:dyDescent="0.3">
      <c r="A154" s="42" t="s">
        <v>102</v>
      </c>
      <c r="B154" s="43"/>
      <c r="C154" s="44" t="s">
        <v>103</v>
      </c>
      <c r="D154" s="53">
        <v>46325</v>
      </c>
    </row>
    <row r="155" spans="1:4" ht="27.75" thickBot="1" x14ac:dyDescent="0.3">
      <c r="A155" s="45" t="s">
        <v>3</v>
      </c>
      <c r="B155" s="46" t="s">
        <v>15</v>
      </c>
      <c r="C155" s="45" t="s">
        <v>37</v>
      </c>
      <c r="D155" s="45" t="s">
        <v>13</v>
      </c>
    </row>
    <row r="156" spans="1:4" x14ac:dyDescent="0.25">
      <c r="A156" s="5" t="s">
        <v>35</v>
      </c>
      <c r="B156" s="4"/>
      <c r="C156" s="89" t="s">
        <v>104</v>
      </c>
      <c r="D156" s="9" t="s">
        <v>105</v>
      </c>
    </row>
    <row r="157" spans="1:4" x14ac:dyDescent="0.25">
      <c r="A157" s="1" t="s">
        <v>35</v>
      </c>
      <c r="B157" s="2"/>
      <c r="C157" s="10" t="s">
        <v>106</v>
      </c>
      <c r="D157" s="10" t="s">
        <v>101</v>
      </c>
    </row>
    <row r="158" spans="1:4" x14ac:dyDescent="0.25">
      <c r="A158" s="1" t="s">
        <v>34</v>
      </c>
      <c r="B158" s="2"/>
      <c r="C158" s="10" t="s">
        <v>107</v>
      </c>
      <c r="D158" s="10" t="s">
        <v>94</v>
      </c>
    </row>
    <row r="159" spans="1:4" x14ac:dyDescent="0.25">
      <c r="A159" s="1" t="s">
        <v>34</v>
      </c>
      <c r="B159" s="2"/>
      <c r="C159" s="10" t="s">
        <v>108</v>
      </c>
      <c r="D159" s="10" t="s">
        <v>109</v>
      </c>
    </row>
    <row r="160" spans="1:4" x14ac:dyDescent="0.25">
      <c r="A160" s="1" t="s">
        <v>35</v>
      </c>
      <c r="B160" s="2"/>
      <c r="C160" s="10" t="s">
        <v>110</v>
      </c>
      <c r="D160" s="10" t="s">
        <v>111</v>
      </c>
    </row>
    <row r="161" spans="1:4" x14ac:dyDescent="0.25">
      <c r="A161" s="1"/>
      <c r="B161" s="2"/>
      <c r="C161" s="10" t="s">
        <v>112</v>
      </c>
      <c r="D161" s="10"/>
    </row>
    <row r="162" spans="1:4" x14ac:dyDescent="0.25">
      <c r="A162" s="1"/>
      <c r="B162" s="2"/>
      <c r="C162" s="10" t="s">
        <v>113</v>
      </c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1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2"/>
      <c r="B167" s="2"/>
      <c r="C167" s="10"/>
      <c r="D167" s="10"/>
    </row>
    <row r="168" spans="1:4" x14ac:dyDescent="0.25">
      <c r="A168" s="50"/>
      <c r="B168" s="50"/>
      <c r="C168" s="51"/>
      <c r="D168" s="51"/>
    </row>
    <row r="169" spans="1:4" x14ac:dyDescent="0.25">
      <c r="A169" s="50"/>
      <c r="B169" s="50"/>
      <c r="C169" s="51"/>
      <c r="D169" s="51"/>
    </row>
    <row r="170" spans="1:4" ht="14.25" thickBot="1" x14ac:dyDescent="0.3">
      <c r="A170" s="3"/>
      <c r="B170" s="3"/>
      <c r="C170" s="11"/>
      <c r="D170" s="11"/>
    </row>
    <row r="171" spans="1:4" ht="14.25" thickBot="1" x14ac:dyDescent="0.3">
      <c r="A171" s="47" t="s">
        <v>114</v>
      </c>
      <c r="B171" s="47">
        <f>SUM(B156:B170)</f>
        <v>0</v>
      </c>
      <c r="C171" s="86" t="s">
        <v>115</v>
      </c>
      <c r="D171" s="48"/>
    </row>
    <row r="173" spans="1:4" x14ac:dyDescent="0.25">
      <c r="A173" s="87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2D63EE60-44EC-4442-8A44-82246368F90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60:B74 B79:B93 B98:B112 B117:B131 B136:B150 B42:B45 B47:B55" xr:uid="{B8FF14FE-2A75-429B-A93B-7887ADBE041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437FBB72-6B8D-4F42-895D-FE820DB14A8D}">
      <formula1>0</formula1>
      <formula2>NbPerWeek * NbQuartPer</formula2>
    </dataValidation>
    <dataValidation type="list" allowBlank="1" showInputMessage="1" showErrorMessage="1" sqref="A3:A17 A22:A36 A41:A55 A60:A74 A79:A93 A98:A112 A117:A131 A136:A150" xr:uid="{9B51F521-522A-4C5B-9F80-9CE4A8A526CE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2E677-354B-4308-934E-600B567A1420}">
  <sheetPr codeName="Feuil5"/>
  <dimension ref="A1:H113"/>
  <sheetViews>
    <sheetView tabSelected="1" topLeftCell="A86" workbookViewId="0">
      <selection activeCell="C90" sqref="C90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94"/>
      <c r="D1" s="85"/>
    </row>
    <row r="2" spans="1:4" ht="27.75" thickBot="1" x14ac:dyDescent="0.3">
      <c r="A2" s="8" t="s">
        <v>3</v>
      </c>
      <c r="B2" s="18" t="s">
        <v>15</v>
      </c>
      <c r="C2" s="95" t="s">
        <v>37</v>
      </c>
      <c r="D2" s="8" t="s">
        <v>13</v>
      </c>
    </row>
    <row r="3" spans="1:4" s="52" customFormat="1" x14ac:dyDescent="0.25">
      <c r="A3" s="5"/>
      <c r="B3" s="104">
        <v>1</v>
      </c>
      <c r="C3" s="89" t="s">
        <v>38</v>
      </c>
      <c r="D3" s="9"/>
    </row>
    <row r="4" spans="1:4" s="52" customFormat="1" x14ac:dyDescent="0.25">
      <c r="A4" s="1" t="s">
        <v>34</v>
      </c>
      <c r="B4" s="105">
        <v>1</v>
      </c>
      <c r="C4" s="90" t="s">
        <v>39</v>
      </c>
      <c r="D4" s="10"/>
    </row>
    <row r="5" spans="1:4" s="52" customFormat="1" x14ac:dyDescent="0.25">
      <c r="A5" s="1"/>
      <c r="B5" s="105">
        <v>2</v>
      </c>
      <c r="C5" s="90" t="s">
        <v>40</v>
      </c>
      <c r="D5" s="10"/>
    </row>
    <row r="6" spans="1:4" s="52" customFormat="1" x14ac:dyDescent="0.25">
      <c r="A6" s="1"/>
      <c r="B6" s="105">
        <v>1</v>
      </c>
      <c r="C6" s="90" t="s">
        <v>41</v>
      </c>
      <c r="D6" s="10"/>
    </row>
    <row r="7" spans="1:4" s="52" customFormat="1" x14ac:dyDescent="0.25">
      <c r="A7" s="1"/>
      <c r="B7" s="105">
        <v>2</v>
      </c>
      <c r="C7" s="90" t="s">
        <v>42</v>
      </c>
      <c r="D7" s="10"/>
    </row>
    <row r="8" spans="1:4" s="52" customFormat="1" x14ac:dyDescent="0.25">
      <c r="A8" s="1"/>
      <c r="B8" s="105">
        <v>3</v>
      </c>
      <c r="C8" s="90" t="s">
        <v>43</v>
      </c>
      <c r="D8" s="10"/>
    </row>
    <row r="9" spans="1:4" s="52" customFormat="1" x14ac:dyDescent="0.25">
      <c r="A9" s="2"/>
      <c r="B9" s="105">
        <v>1</v>
      </c>
      <c r="C9" s="90" t="s">
        <v>44</v>
      </c>
      <c r="D9" s="10"/>
    </row>
    <row r="10" spans="1:4" s="52" customFormat="1" x14ac:dyDescent="0.25">
      <c r="A10" s="2"/>
      <c r="B10" s="105">
        <v>1</v>
      </c>
      <c r="C10" s="90" t="s">
        <v>45</v>
      </c>
      <c r="D10" s="10"/>
    </row>
    <row r="11" spans="1:4" s="52" customFormat="1" x14ac:dyDescent="0.25">
      <c r="A11" s="2"/>
      <c r="B11" s="105"/>
      <c r="C11" s="90"/>
      <c r="D11" s="10"/>
    </row>
    <row r="12" spans="1:4" s="52" customFormat="1" ht="14.25" thickBot="1" x14ac:dyDescent="0.3">
      <c r="A12" s="3"/>
      <c r="B12" s="106"/>
      <c r="C12" s="96"/>
      <c r="D12" s="11"/>
    </row>
    <row r="13" spans="1:4" ht="14.25" thickBot="1" x14ac:dyDescent="0.3">
      <c r="A13" s="12" t="s">
        <v>22</v>
      </c>
      <c r="B13" s="107">
        <f>SUM(B3:B12)</f>
        <v>12</v>
      </c>
      <c r="C13" s="97" t="s">
        <v>29</v>
      </c>
      <c r="D13" s="13"/>
    </row>
    <row r="14" spans="1:4" ht="15" thickBot="1" x14ac:dyDescent="0.35">
      <c r="A14" s="14"/>
      <c r="B14" s="98"/>
      <c r="C14" s="98"/>
      <c r="D14" s="14"/>
    </row>
    <row r="15" spans="1:4" ht="18.75" thickBot="1" x14ac:dyDescent="0.3">
      <c r="A15" s="6" t="s">
        <v>14</v>
      </c>
      <c r="B15" s="108">
        <v>2</v>
      </c>
      <c r="C15" s="94"/>
      <c r="D15" s="85"/>
    </row>
    <row r="16" spans="1:4" ht="27.75" thickBot="1" x14ac:dyDescent="0.3">
      <c r="A16" s="8" t="s">
        <v>3</v>
      </c>
      <c r="B16" s="109" t="s">
        <v>15</v>
      </c>
      <c r="C16" s="95" t="s">
        <v>37</v>
      </c>
      <c r="D16" s="8" t="s">
        <v>13</v>
      </c>
    </row>
    <row r="17" spans="1:8" ht="14.25" thickBot="1" x14ac:dyDescent="0.3">
      <c r="A17" s="5" t="s">
        <v>35</v>
      </c>
      <c r="B17" s="104">
        <v>2</v>
      </c>
      <c r="C17" s="92" t="s">
        <v>46</v>
      </c>
      <c r="D17" s="9"/>
    </row>
    <row r="18" spans="1:8" x14ac:dyDescent="0.25">
      <c r="A18" s="1" t="s">
        <v>35</v>
      </c>
      <c r="B18" s="110">
        <v>3</v>
      </c>
      <c r="C18" s="99" t="s">
        <v>47</v>
      </c>
      <c r="D18" s="91"/>
    </row>
    <row r="19" spans="1:8" x14ac:dyDescent="0.25">
      <c r="A19" s="1" t="s">
        <v>35</v>
      </c>
      <c r="B19" s="110">
        <v>3</v>
      </c>
      <c r="C19" s="100" t="s">
        <v>48</v>
      </c>
      <c r="D19" s="91"/>
    </row>
    <row r="20" spans="1:8" ht="12.75" customHeight="1" thickBot="1" x14ac:dyDescent="0.3">
      <c r="A20" s="93" t="s">
        <v>34</v>
      </c>
      <c r="B20" s="110">
        <v>2</v>
      </c>
      <c r="C20" s="101" t="s">
        <v>49</v>
      </c>
      <c r="D20" s="91"/>
      <c r="F20" s="31"/>
      <c r="G20" s="32"/>
      <c r="H20" s="33"/>
    </row>
    <row r="21" spans="1:8" ht="15" x14ac:dyDescent="0.25">
      <c r="A21" s="1"/>
      <c r="B21" s="105">
        <v>1</v>
      </c>
      <c r="C21" s="102" t="s">
        <v>50</v>
      </c>
      <c r="D21" s="10"/>
      <c r="F21" s="34"/>
      <c r="G21" s="30"/>
      <c r="H21" s="30"/>
    </row>
    <row r="22" spans="1:8" x14ac:dyDescent="0.25">
      <c r="A22" s="1"/>
      <c r="B22" s="105">
        <v>1</v>
      </c>
      <c r="C22" s="90" t="s">
        <v>51</v>
      </c>
      <c r="D22" s="10"/>
      <c r="F22" s="36"/>
      <c r="G22" s="37"/>
      <c r="H22" s="37"/>
    </row>
    <row r="23" spans="1:8" x14ac:dyDescent="0.25">
      <c r="A23" s="2"/>
      <c r="B23" s="105"/>
      <c r="C23" s="90"/>
      <c r="D23" s="10"/>
      <c r="F23" s="36"/>
      <c r="G23" s="37"/>
      <c r="H23" s="37"/>
    </row>
    <row r="24" spans="1:8" x14ac:dyDescent="0.25">
      <c r="A24" s="2"/>
      <c r="B24" s="105"/>
      <c r="C24" s="90"/>
      <c r="D24" s="10"/>
      <c r="F24" s="36"/>
      <c r="G24" s="37"/>
      <c r="H24" s="37"/>
    </row>
    <row r="25" spans="1:8" x14ac:dyDescent="0.25">
      <c r="A25" s="2"/>
      <c r="B25" s="105"/>
      <c r="C25" s="90"/>
      <c r="D25" s="10"/>
      <c r="F25" s="36"/>
      <c r="G25" s="37"/>
      <c r="H25" s="37"/>
    </row>
    <row r="26" spans="1:8" ht="14.25" thickBot="1" x14ac:dyDescent="0.3">
      <c r="A26" s="3"/>
      <c r="B26" s="106"/>
      <c r="C26" s="96"/>
      <c r="D26" s="11"/>
      <c r="F26" s="36"/>
      <c r="G26" s="37"/>
      <c r="H26" s="37"/>
    </row>
    <row r="27" spans="1:8" ht="14.25" thickBot="1" x14ac:dyDescent="0.3">
      <c r="A27" s="12" t="s">
        <v>22</v>
      </c>
      <c r="B27" s="107">
        <f>SUM(B17:B26)</f>
        <v>12</v>
      </c>
      <c r="C27" s="97" t="s">
        <v>29</v>
      </c>
      <c r="D27" s="13"/>
      <c r="F27" s="36"/>
      <c r="G27" s="37"/>
      <c r="H27" s="37"/>
    </row>
    <row r="28" spans="1:8" ht="15" thickBot="1" x14ac:dyDescent="0.35">
      <c r="A28" s="14"/>
      <c r="B28" s="98"/>
      <c r="C28" s="98"/>
      <c r="D28" s="14"/>
      <c r="F28" s="36"/>
      <c r="G28" s="37"/>
      <c r="H28" s="37"/>
    </row>
    <row r="29" spans="1:8" ht="18.75" thickBot="1" x14ac:dyDescent="0.3">
      <c r="A29" s="6" t="s">
        <v>14</v>
      </c>
      <c r="B29" s="108">
        <v>3</v>
      </c>
      <c r="C29" s="94"/>
      <c r="D29" s="85"/>
      <c r="F29" s="36"/>
      <c r="G29" s="37"/>
      <c r="H29" s="37"/>
    </row>
    <row r="30" spans="1:8" ht="27.75" thickBot="1" x14ac:dyDescent="0.3">
      <c r="A30" s="8" t="s">
        <v>3</v>
      </c>
      <c r="B30" s="109" t="s">
        <v>15</v>
      </c>
      <c r="C30" s="95" t="s">
        <v>37</v>
      </c>
      <c r="D30" s="8" t="s">
        <v>13</v>
      </c>
      <c r="F30" s="38"/>
      <c r="G30" s="39"/>
      <c r="H30" s="39"/>
    </row>
    <row r="31" spans="1:8" ht="14.25" x14ac:dyDescent="0.3">
      <c r="A31" s="5" t="s">
        <v>35</v>
      </c>
      <c r="B31" s="104">
        <v>1</v>
      </c>
      <c r="C31" s="89" t="s">
        <v>52</v>
      </c>
      <c r="D31" s="9"/>
      <c r="F31" s="40"/>
      <c r="G31" s="40"/>
      <c r="H31" s="40"/>
    </row>
    <row r="32" spans="1:8" x14ac:dyDescent="0.25">
      <c r="A32" s="1" t="s">
        <v>35</v>
      </c>
      <c r="B32" s="105">
        <v>3</v>
      </c>
      <c r="C32" s="103" t="s">
        <v>53</v>
      </c>
      <c r="D32" s="10"/>
    </row>
    <row r="33" spans="1:4" x14ac:dyDescent="0.25">
      <c r="A33" s="1" t="s">
        <v>34</v>
      </c>
      <c r="B33" s="105">
        <v>2</v>
      </c>
      <c r="C33" s="90" t="s">
        <v>54</v>
      </c>
      <c r="D33" s="10"/>
    </row>
    <row r="34" spans="1:4" x14ac:dyDescent="0.25">
      <c r="A34" s="1"/>
      <c r="B34" s="105">
        <v>4</v>
      </c>
      <c r="C34" s="103" t="s">
        <v>55</v>
      </c>
      <c r="D34" s="10"/>
    </row>
    <row r="35" spans="1:4" x14ac:dyDescent="0.25">
      <c r="A35" s="1"/>
      <c r="B35" s="105">
        <v>1</v>
      </c>
      <c r="C35" s="90" t="s">
        <v>56</v>
      </c>
      <c r="D35" s="10"/>
    </row>
    <row r="36" spans="1:4" x14ac:dyDescent="0.25">
      <c r="A36" s="1"/>
      <c r="B36" s="105">
        <v>1</v>
      </c>
      <c r="C36" s="90" t="s">
        <v>51</v>
      </c>
      <c r="D36" s="10"/>
    </row>
    <row r="37" spans="1:4" x14ac:dyDescent="0.25">
      <c r="A37" s="2"/>
      <c r="B37" s="105"/>
      <c r="C37" s="90"/>
      <c r="D37" s="10"/>
    </row>
    <row r="38" spans="1:4" x14ac:dyDescent="0.25">
      <c r="A38" s="2"/>
      <c r="B38" s="105"/>
      <c r="C38" s="90"/>
      <c r="D38" s="10"/>
    </row>
    <row r="39" spans="1:4" x14ac:dyDescent="0.25">
      <c r="A39" s="2"/>
      <c r="B39" s="105"/>
      <c r="C39" s="90"/>
      <c r="D39" s="10"/>
    </row>
    <row r="40" spans="1:4" ht="14.25" thickBot="1" x14ac:dyDescent="0.3">
      <c r="A40" s="3"/>
      <c r="B40" s="106"/>
      <c r="C40" s="96"/>
      <c r="D40" s="11"/>
    </row>
    <row r="41" spans="1:4" ht="14.25" thickBot="1" x14ac:dyDescent="0.3">
      <c r="A41" s="12" t="s">
        <v>22</v>
      </c>
      <c r="B41" s="107">
        <f>SUM(B31:B40)</f>
        <v>12</v>
      </c>
      <c r="C41" s="97" t="s">
        <v>29</v>
      </c>
      <c r="D41" s="13"/>
    </row>
    <row r="42" spans="1:4" ht="15" thickBot="1" x14ac:dyDescent="0.35">
      <c r="A42" s="14"/>
      <c r="B42" s="98"/>
      <c r="C42" s="98"/>
      <c r="D42" s="14"/>
    </row>
    <row r="43" spans="1:4" ht="18.75" thickBot="1" x14ac:dyDescent="0.3">
      <c r="A43" s="6" t="s">
        <v>14</v>
      </c>
      <c r="B43" s="108">
        <v>4</v>
      </c>
      <c r="C43" s="94"/>
      <c r="D43" s="85"/>
    </row>
    <row r="44" spans="1:4" ht="27.75" thickBot="1" x14ac:dyDescent="0.3">
      <c r="A44" s="8" t="s">
        <v>3</v>
      </c>
      <c r="B44" s="109" t="s">
        <v>15</v>
      </c>
      <c r="C44" s="95" t="s">
        <v>37</v>
      </c>
      <c r="D44" s="8" t="s">
        <v>13</v>
      </c>
    </row>
    <row r="45" spans="1:4" x14ac:dyDescent="0.25">
      <c r="A45" s="5" t="s">
        <v>35</v>
      </c>
      <c r="B45" s="104">
        <v>4</v>
      </c>
      <c r="C45" s="89" t="s">
        <v>57</v>
      </c>
      <c r="D45" s="9"/>
    </row>
    <row r="46" spans="1:4" x14ac:dyDescent="0.25">
      <c r="A46" s="1" t="s">
        <v>35</v>
      </c>
      <c r="B46" s="105">
        <v>4</v>
      </c>
      <c r="C46" s="103" t="s">
        <v>58</v>
      </c>
      <c r="D46" s="10"/>
    </row>
    <row r="47" spans="1:4" x14ac:dyDescent="0.25">
      <c r="A47" s="1" t="s">
        <v>34</v>
      </c>
      <c r="B47" s="105">
        <v>2</v>
      </c>
      <c r="C47" s="90" t="s">
        <v>59</v>
      </c>
      <c r="D47" s="10"/>
    </row>
    <row r="48" spans="1:4" x14ac:dyDescent="0.25">
      <c r="A48" s="1"/>
      <c r="B48" s="105">
        <v>1</v>
      </c>
      <c r="C48" s="90" t="s">
        <v>50</v>
      </c>
      <c r="D48" s="10"/>
    </row>
    <row r="49" spans="1:4" x14ac:dyDescent="0.25">
      <c r="A49" s="1"/>
      <c r="B49" s="105">
        <v>1</v>
      </c>
      <c r="C49" s="90" t="s">
        <v>51</v>
      </c>
      <c r="D49" s="10"/>
    </row>
    <row r="50" spans="1:4" x14ac:dyDescent="0.25">
      <c r="A50" s="1"/>
      <c r="B50" s="105"/>
      <c r="C50" s="90"/>
      <c r="D50" s="10"/>
    </row>
    <row r="51" spans="1:4" x14ac:dyDescent="0.25">
      <c r="A51" s="2"/>
      <c r="B51" s="105"/>
      <c r="C51" s="90"/>
      <c r="D51" s="10"/>
    </row>
    <row r="52" spans="1:4" x14ac:dyDescent="0.25">
      <c r="A52" s="2"/>
      <c r="B52" s="105"/>
      <c r="C52" s="90"/>
      <c r="D52" s="10"/>
    </row>
    <row r="53" spans="1:4" x14ac:dyDescent="0.25">
      <c r="A53" s="2"/>
      <c r="B53" s="105"/>
      <c r="C53" s="90"/>
      <c r="D53" s="10"/>
    </row>
    <row r="54" spans="1:4" ht="14.25" thickBot="1" x14ac:dyDescent="0.3">
      <c r="A54" s="3"/>
      <c r="B54" s="106"/>
      <c r="C54" s="96"/>
      <c r="D54" s="11"/>
    </row>
    <row r="55" spans="1:4" ht="14.25" thickBot="1" x14ac:dyDescent="0.3">
      <c r="A55" s="12" t="s">
        <v>22</v>
      </c>
      <c r="B55" s="107">
        <f>SUM(B45:B54)</f>
        <v>12</v>
      </c>
      <c r="C55" s="97" t="s">
        <v>29</v>
      </c>
      <c r="D55" s="13"/>
    </row>
    <row r="56" spans="1:4" ht="15" thickBot="1" x14ac:dyDescent="0.35">
      <c r="A56" s="14"/>
      <c r="B56" s="98"/>
      <c r="C56" s="98"/>
      <c r="D56" s="14"/>
    </row>
    <row r="57" spans="1:4" ht="18.75" thickBot="1" x14ac:dyDescent="0.3">
      <c r="A57" s="6" t="s">
        <v>14</v>
      </c>
      <c r="B57" s="108">
        <v>5</v>
      </c>
      <c r="C57" s="94"/>
      <c r="D57" s="85"/>
    </row>
    <row r="58" spans="1:4" ht="27.75" thickBot="1" x14ac:dyDescent="0.3">
      <c r="A58" s="8" t="s">
        <v>3</v>
      </c>
      <c r="B58" s="109" t="s">
        <v>15</v>
      </c>
      <c r="C58" s="95" t="s">
        <v>37</v>
      </c>
      <c r="D58" s="8" t="s">
        <v>13</v>
      </c>
    </row>
    <row r="59" spans="1:4" x14ac:dyDescent="0.25">
      <c r="A59" s="5" t="s">
        <v>35</v>
      </c>
      <c r="B59" s="104">
        <v>5</v>
      </c>
      <c r="C59" s="89" t="s">
        <v>60</v>
      </c>
      <c r="D59" s="9"/>
    </row>
    <row r="60" spans="1:4" x14ac:dyDescent="0.25">
      <c r="A60" s="1" t="s">
        <v>35</v>
      </c>
      <c r="B60" s="105">
        <v>3</v>
      </c>
      <c r="C60" s="103" t="s">
        <v>61</v>
      </c>
      <c r="D60" s="10"/>
    </row>
    <row r="61" spans="1:4" x14ac:dyDescent="0.25">
      <c r="A61" s="1" t="s">
        <v>34</v>
      </c>
      <c r="B61" s="105">
        <v>2</v>
      </c>
      <c r="C61" s="90" t="s">
        <v>62</v>
      </c>
      <c r="D61" s="10"/>
    </row>
    <row r="62" spans="1:4" x14ac:dyDescent="0.25">
      <c r="A62" s="1"/>
      <c r="B62" s="105">
        <v>1</v>
      </c>
      <c r="C62" s="90" t="s">
        <v>50</v>
      </c>
      <c r="D62" s="10"/>
    </row>
    <row r="63" spans="1:4" x14ac:dyDescent="0.25">
      <c r="A63" s="1"/>
      <c r="B63" s="105">
        <v>1</v>
      </c>
      <c r="C63" s="90" t="s">
        <v>51</v>
      </c>
      <c r="D63" s="10"/>
    </row>
    <row r="64" spans="1:4" x14ac:dyDescent="0.25">
      <c r="A64" s="1"/>
      <c r="B64" s="105"/>
      <c r="C64" s="90"/>
      <c r="D64" s="10"/>
    </row>
    <row r="65" spans="1:4" x14ac:dyDescent="0.25">
      <c r="A65" s="2"/>
      <c r="B65" s="105"/>
      <c r="C65" s="90"/>
      <c r="D65" s="10"/>
    </row>
    <row r="66" spans="1:4" x14ac:dyDescent="0.25">
      <c r="A66" s="2"/>
      <c r="B66" s="105"/>
      <c r="C66" s="90"/>
      <c r="D66" s="10"/>
    </row>
    <row r="67" spans="1:4" x14ac:dyDescent="0.25">
      <c r="A67" s="2"/>
      <c r="B67" s="105"/>
      <c r="C67" s="90"/>
      <c r="D67" s="10"/>
    </row>
    <row r="68" spans="1:4" ht="14.25" thickBot="1" x14ac:dyDescent="0.3">
      <c r="A68" s="3"/>
      <c r="B68" s="106"/>
      <c r="C68" s="96"/>
      <c r="D68" s="11"/>
    </row>
    <row r="69" spans="1:4" ht="14.25" thickBot="1" x14ac:dyDescent="0.3">
      <c r="A69" s="12" t="s">
        <v>22</v>
      </c>
      <c r="B69" s="107">
        <f>SUM(B59:B68)</f>
        <v>12</v>
      </c>
      <c r="C69" s="97" t="s">
        <v>29</v>
      </c>
      <c r="D69" s="13"/>
    </row>
    <row r="70" spans="1:4" ht="15" thickBot="1" x14ac:dyDescent="0.35">
      <c r="A70" s="14"/>
      <c r="B70" s="98"/>
      <c r="C70" s="98"/>
      <c r="D70" s="14"/>
    </row>
    <row r="71" spans="1:4" ht="18.75" thickBot="1" x14ac:dyDescent="0.3">
      <c r="A71" s="6" t="s">
        <v>14</v>
      </c>
      <c r="B71" s="108">
        <v>6</v>
      </c>
      <c r="C71" s="94"/>
      <c r="D71" s="85"/>
    </row>
    <row r="72" spans="1:4" ht="27.75" thickBot="1" x14ac:dyDescent="0.3">
      <c r="A72" s="8" t="s">
        <v>3</v>
      </c>
      <c r="B72" s="109" t="s">
        <v>15</v>
      </c>
      <c r="C72" s="95" t="s">
        <v>37</v>
      </c>
      <c r="D72" s="8" t="s">
        <v>13</v>
      </c>
    </row>
    <row r="73" spans="1:4" x14ac:dyDescent="0.25">
      <c r="A73" s="5" t="s">
        <v>35</v>
      </c>
      <c r="B73" s="104">
        <v>3</v>
      </c>
      <c r="C73" s="89" t="s">
        <v>63</v>
      </c>
      <c r="D73" s="9"/>
    </row>
    <row r="74" spans="1:4" x14ac:dyDescent="0.25">
      <c r="A74" s="1" t="s">
        <v>35</v>
      </c>
      <c r="B74" s="105">
        <v>3</v>
      </c>
      <c r="C74" s="103" t="s">
        <v>64</v>
      </c>
      <c r="D74" s="10"/>
    </row>
    <row r="75" spans="1:4" x14ac:dyDescent="0.25">
      <c r="A75" s="1" t="s">
        <v>34</v>
      </c>
      <c r="B75" s="105">
        <v>2</v>
      </c>
      <c r="C75" s="90" t="s">
        <v>65</v>
      </c>
      <c r="D75" s="10"/>
    </row>
    <row r="76" spans="1:4" x14ac:dyDescent="0.25">
      <c r="A76" s="1"/>
      <c r="B76" s="105">
        <v>2</v>
      </c>
      <c r="C76" s="90" t="s">
        <v>66</v>
      </c>
      <c r="D76" s="10"/>
    </row>
    <row r="77" spans="1:4" x14ac:dyDescent="0.25">
      <c r="A77" s="1"/>
      <c r="B77" s="105">
        <v>1</v>
      </c>
      <c r="C77" s="90" t="s">
        <v>50</v>
      </c>
      <c r="D77" s="10"/>
    </row>
    <row r="78" spans="1:4" x14ac:dyDescent="0.25">
      <c r="A78" s="1"/>
      <c r="B78" s="105">
        <v>1</v>
      </c>
      <c r="C78" s="90" t="s">
        <v>51</v>
      </c>
      <c r="D78" s="10"/>
    </row>
    <row r="79" spans="1:4" x14ac:dyDescent="0.25">
      <c r="A79" s="2"/>
      <c r="B79" s="105"/>
      <c r="C79" s="90"/>
      <c r="D79" s="10"/>
    </row>
    <row r="80" spans="1:4" x14ac:dyDescent="0.25">
      <c r="A80" s="2"/>
      <c r="B80" s="105"/>
      <c r="C80" s="90"/>
      <c r="D80" s="10"/>
    </row>
    <row r="81" spans="1:4" x14ac:dyDescent="0.25">
      <c r="A81" s="2"/>
      <c r="B81" s="105"/>
      <c r="C81" s="90"/>
      <c r="D81" s="10"/>
    </row>
    <row r="82" spans="1:4" ht="14.25" thickBot="1" x14ac:dyDescent="0.3">
      <c r="A82" s="3"/>
      <c r="B82" s="106"/>
      <c r="C82" s="96"/>
      <c r="D82" s="11"/>
    </row>
    <row r="83" spans="1:4" ht="14.25" thickBot="1" x14ac:dyDescent="0.3">
      <c r="A83" s="12" t="s">
        <v>22</v>
      </c>
      <c r="B83" s="107">
        <f>SUM(B73:B82)</f>
        <v>12</v>
      </c>
      <c r="C83" s="97" t="s">
        <v>29</v>
      </c>
      <c r="D83" s="13"/>
    </row>
    <row r="84" spans="1:4" ht="15" thickBot="1" x14ac:dyDescent="0.35">
      <c r="A84" s="14"/>
      <c r="B84" s="98"/>
      <c r="C84" s="98"/>
      <c r="D84" s="14"/>
    </row>
    <row r="85" spans="1:4" ht="18.75" thickBot="1" x14ac:dyDescent="0.3">
      <c r="A85" s="6" t="s">
        <v>14</v>
      </c>
      <c r="B85" s="108">
        <v>7</v>
      </c>
      <c r="C85" s="94"/>
      <c r="D85" s="85"/>
    </row>
    <row r="86" spans="1:4" ht="27.75" thickBot="1" x14ac:dyDescent="0.3">
      <c r="A86" s="8" t="s">
        <v>3</v>
      </c>
      <c r="B86" s="109" t="s">
        <v>15</v>
      </c>
      <c r="C86" s="95" t="s">
        <v>37</v>
      </c>
      <c r="D86" s="8" t="s">
        <v>13</v>
      </c>
    </row>
    <row r="87" spans="1:4" x14ac:dyDescent="0.25">
      <c r="A87" s="5" t="s">
        <v>35</v>
      </c>
      <c r="B87" s="104">
        <v>3</v>
      </c>
      <c r="C87" s="89" t="s">
        <v>67</v>
      </c>
      <c r="D87" s="9"/>
    </row>
    <row r="88" spans="1:4" x14ac:dyDescent="0.25">
      <c r="A88" s="1" t="s">
        <v>35</v>
      </c>
      <c r="B88" s="105">
        <v>2</v>
      </c>
      <c r="C88" s="90" t="s">
        <v>68</v>
      </c>
      <c r="D88" s="10"/>
    </row>
    <row r="89" spans="1:4" x14ac:dyDescent="0.25">
      <c r="A89" s="1"/>
      <c r="B89" s="105">
        <v>2</v>
      </c>
      <c r="C89" s="90" t="s">
        <v>69</v>
      </c>
      <c r="D89" s="10"/>
    </row>
    <row r="90" spans="1:4" x14ac:dyDescent="0.25">
      <c r="A90" s="1"/>
      <c r="B90" s="105">
        <v>2</v>
      </c>
      <c r="C90" s="90" t="s">
        <v>116</v>
      </c>
      <c r="D90" s="10"/>
    </row>
    <row r="91" spans="1:4" x14ac:dyDescent="0.25">
      <c r="A91" s="1"/>
      <c r="B91" s="105">
        <v>1</v>
      </c>
      <c r="C91" s="90" t="s">
        <v>51</v>
      </c>
      <c r="D91" s="10"/>
    </row>
    <row r="92" spans="1:4" x14ac:dyDescent="0.25">
      <c r="A92" s="1"/>
      <c r="B92" s="105">
        <v>1</v>
      </c>
      <c r="C92" s="90" t="s">
        <v>50</v>
      </c>
      <c r="D92" s="10"/>
    </row>
    <row r="93" spans="1:4" x14ac:dyDescent="0.25">
      <c r="A93" s="2"/>
      <c r="B93" s="105">
        <v>1</v>
      </c>
      <c r="C93" s="90" t="s">
        <v>51</v>
      </c>
      <c r="D93" s="10"/>
    </row>
    <row r="94" spans="1:4" x14ac:dyDescent="0.25">
      <c r="A94" s="2"/>
      <c r="B94" s="105"/>
      <c r="C94" s="90"/>
      <c r="D94" s="10"/>
    </row>
    <row r="95" spans="1:4" x14ac:dyDescent="0.25">
      <c r="A95" s="2"/>
      <c r="B95" s="105"/>
      <c r="C95" s="90"/>
      <c r="D95" s="10"/>
    </row>
    <row r="96" spans="1:4" ht="14.25" thickBot="1" x14ac:dyDescent="0.3">
      <c r="A96" s="3"/>
      <c r="B96" s="106"/>
      <c r="C96" s="96"/>
      <c r="D96" s="11"/>
    </row>
    <row r="97" spans="1:4" ht="14.25" thickBot="1" x14ac:dyDescent="0.3">
      <c r="A97" s="12" t="s">
        <v>22</v>
      </c>
      <c r="B97" s="107">
        <f>SUM(B87:B96)</f>
        <v>12</v>
      </c>
      <c r="C97" s="97" t="s">
        <v>29</v>
      </c>
      <c r="D97" s="13"/>
    </row>
    <row r="98" spans="1:4" ht="15" thickBot="1" x14ac:dyDescent="0.35">
      <c r="A98" s="14"/>
      <c r="B98" s="98"/>
      <c r="C98" s="98"/>
      <c r="D98" s="14"/>
    </row>
    <row r="99" spans="1:4" ht="18.75" thickBot="1" x14ac:dyDescent="0.3">
      <c r="A99" s="6" t="s">
        <v>14</v>
      </c>
      <c r="B99" s="108">
        <v>8</v>
      </c>
      <c r="C99" s="94"/>
      <c r="D99" s="85"/>
    </row>
    <row r="100" spans="1:4" ht="27.75" thickBot="1" x14ac:dyDescent="0.3">
      <c r="A100" s="8" t="s">
        <v>3</v>
      </c>
      <c r="B100" s="109" t="s">
        <v>15</v>
      </c>
      <c r="C100" s="95" t="s">
        <v>37</v>
      </c>
      <c r="D100" s="8" t="s">
        <v>13</v>
      </c>
    </row>
    <row r="101" spans="1:4" x14ac:dyDescent="0.25">
      <c r="A101" s="5"/>
      <c r="B101" s="104">
        <v>2</v>
      </c>
      <c r="C101" s="89" t="s">
        <v>70</v>
      </c>
      <c r="D101" s="9"/>
    </row>
    <row r="102" spans="1:4" x14ac:dyDescent="0.25">
      <c r="A102" s="1"/>
      <c r="B102" s="105">
        <v>2</v>
      </c>
      <c r="C102" s="90" t="s">
        <v>71</v>
      </c>
      <c r="D102" s="10"/>
    </row>
    <row r="103" spans="1:4" x14ac:dyDescent="0.25">
      <c r="A103" s="1"/>
      <c r="B103" s="105">
        <v>1</v>
      </c>
      <c r="C103" s="90" t="s">
        <v>72</v>
      </c>
      <c r="D103" s="10"/>
    </row>
    <row r="104" spans="1:4" x14ac:dyDescent="0.25">
      <c r="A104" s="1"/>
      <c r="B104" s="105">
        <v>2</v>
      </c>
      <c r="C104" s="90" t="s">
        <v>73</v>
      </c>
      <c r="D104" s="10"/>
    </row>
    <row r="105" spans="1:4" x14ac:dyDescent="0.25">
      <c r="A105" s="1"/>
      <c r="B105" s="105">
        <v>1</v>
      </c>
      <c r="C105" s="90" t="s">
        <v>74</v>
      </c>
      <c r="D105" s="10"/>
    </row>
    <row r="106" spans="1:4" x14ac:dyDescent="0.25">
      <c r="A106" s="1"/>
      <c r="B106" s="105">
        <v>1</v>
      </c>
      <c r="C106" s="90" t="s">
        <v>75</v>
      </c>
      <c r="D106" s="10"/>
    </row>
    <row r="107" spans="1:4" x14ac:dyDescent="0.25">
      <c r="A107" s="2"/>
      <c r="B107" s="105">
        <v>1</v>
      </c>
      <c r="C107" s="90" t="s">
        <v>76</v>
      </c>
      <c r="D107" s="10"/>
    </row>
    <row r="108" spans="1:4" x14ac:dyDescent="0.25">
      <c r="A108" s="2"/>
      <c r="B108" s="105">
        <v>1</v>
      </c>
      <c r="C108" s="90" t="s">
        <v>50</v>
      </c>
      <c r="D108" s="10"/>
    </row>
    <row r="109" spans="1:4" x14ac:dyDescent="0.25">
      <c r="A109" s="2"/>
      <c r="B109" s="105">
        <v>1</v>
      </c>
      <c r="C109" s="90" t="s">
        <v>51</v>
      </c>
      <c r="D109" s="10"/>
    </row>
    <row r="110" spans="1:4" ht="14.25" thickBot="1" x14ac:dyDescent="0.3">
      <c r="A110" s="3"/>
      <c r="B110" s="3"/>
      <c r="C110" s="96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29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7" t="s">
        <v>28</v>
      </c>
    </row>
  </sheetData>
  <sheetProtection insertRows="0" selectLockedCells="1"/>
  <dataValidations count="5">
    <dataValidation type="list" allowBlank="1" showInputMessage="1" showErrorMessage="1" sqref="A3:A12 A17:A26 A31:A40 A45:A54 A59:A68 A73:A82 A87:A96 A101:A110" xr:uid="{20D57CDA-FE33-46F3-9290-49F96D9A2B69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11 B13 B27 B41 B55 B69 B83 B97" xr:uid="{A1C107C4-CC64-475E-B8B5-7E2357D40230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F22:F29 B110" xr:uid="{7E2313E0-2ECC-40F5-BD59-6EE88733CC8D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C14834B5-C836-44CC-B345-D50ADB44D63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17:B26 B31:B40 B45:B54 B59:B68 B73:B82 B101:B109 B87:B96" xr:uid="{C63E6651-9CE5-44DF-9266-B3B2D473CD82}">
      <formula1>0</formula1>
      <formula2>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B99F57F4D89D439F52EDCD0CED316B" ma:contentTypeVersion="7" ma:contentTypeDescription="Crée un document." ma:contentTypeScope="" ma:versionID="d33ce6f53f467230af3a4d19e3409e37">
  <xsd:schema xmlns:xsd="http://www.w3.org/2001/XMLSchema" xmlns:xs="http://www.w3.org/2001/XMLSchema" xmlns:p="http://schemas.microsoft.com/office/2006/metadata/properties" xmlns:ns2="6b19550a-bdc3-4796-8096-c6911560d534" targetNamespace="http://schemas.microsoft.com/office/2006/metadata/properties" ma:root="true" ma:fieldsID="fd1611c028c4b8e5ae6fe3ffca8b06cf" ns2:_="">
    <xsd:import namespace="6b19550a-bdc3-4796-8096-c6911560d53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19550a-bdc3-4796-8096-c6911560d53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2A0364C4-3CF8-441F-8DCA-28711DFBE2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19550a-bdc3-4796-8096-c6911560d5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Hugo Chevrette</dc:creator>
  <cp:lastModifiedBy>Hugo Chevrette</cp:lastModifiedBy>
  <cp:lastPrinted>2013-08-29T11:33:15Z</cp:lastPrinted>
  <dcterms:created xsi:type="dcterms:W3CDTF">1996-10-21T11:03:58Z</dcterms:created>
  <dcterms:modified xsi:type="dcterms:W3CDTF">2026-10-30T12:41:25Z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0x010100FBB99F57F4D89D439F52EDCD0CED316B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